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קציב" sheetId="1" state="visible" r:id="rId1"/>
    <sheet xmlns:r="http://schemas.openxmlformats.org/officeDocument/2006/relationships" name="דוגמה · קופסת הפסק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₪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</font>
    <font>
      <name val="Arial"/>
      <b val="1"/>
      <sz val="13"/>
    </font>
    <font>
      <name val="Arial"/>
      <i val="1"/>
      <color rgb="005B6574"/>
      <sz val="9"/>
    </font>
    <font>
      <name val="Arial"/>
      <b val="1"/>
      <color rgb="000B5C56"/>
      <sz val="12"/>
    </font>
    <font>
      <name val="Arial"/>
      <color rgb="008A93A1"/>
      <sz val="9"/>
    </font>
    <font>
      <name val="Arial"/>
      <b val="1"/>
      <color rgb="000B5C56"/>
    </font>
    <font>
      <name val="Arial"/>
      <b val="1"/>
    </font>
    <font>
      <name val="Arial"/>
      <color rgb="005B6574"/>
      <sz val="9"/>
    </font>
  </fonts>
  <fills count="7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E8F0FE"/>
        <bgColor rgb="00E8F0FE"/>
      </patternFill>
    </fill>
    <fill>
      <patternFill patternType="solid">
        <fgColor rgb="00E3F1EE"/>
        <bgColor rgb="00E3F1EE"/>
      </patternFill>
    </fill>
    <fill>
      <patternFill patternType="solid">
        <fgColor rgb="00FFF7D6"/>
        <bgColor rgb="00FFF7D6"/>
      </patternFill>
    </fill>
    <fill>
      <patternFill patternType="solid">
        <fgColor rgb="00EEF2EE"/>
        <bgColor rgb="00EEF2EE"/>
      </patternFill>
    </fill>
  </fills>
  <borders count="2">
    <border>
      <left/>
      <right/>
      <top/>
      <bottom/>
      <diagonal/>
    </border>
    <border>
      <left style="thin">
        <color rgb="00D9D3C8"/>
      </left>
      <right style="thin">
        <color rgb="00D9D3C8"/>
      </right>
      <top style="thin">
        <color rgb="00D9D3C8"/>
      </top>
      <bottom style="thin">
        <color rgb="00D9D3C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3" borderId="1" pivotButton="0" quotePrefix="0" xfId="0"/>
    <xf numFmtId="0" fontId="6" fillId="0" borderId="0" pivotButton="0" quotePrefix="0" xfId="0"/>
    <xf numFmtId="0" fontId="0" fillId="4" borderId="1" pivotButton="0" quotePrefix="0" xfId="0"/>
    <xf numFmtId="0" fontId="7" fillId="4" borderId="1" applyAlignment="1" pivotButton="0" quotePrefix="0" xfId="0">
      <alignment horizontal="center"/>
    </xf>
    <xf numFmtId="0" fontId="0" fillId="3" borderId="1" pivotButton="0" quotePrefix="0" xfId="0"/>
    <xf numFmtId="0" fontId="8" fillId="0" borderId="1" pivotButton="0" quotePrefix="0" xfId="0"/>
    <xf numFmtId="0" fontId="0" fillId="3" borderId="1" applyAlignment="1" pivotButton="0" quotePrefix="0" xfId="0">
      <alignment vertical="top" wrapText="1"/>
    </xf>
    <xf numFmtId="164" fontId="0" fillId="6" borderId="1" pivotButton="0" quotePrefix="0" xfId="0"/>
    <xf numFmtId="0" fontId="0" fillId="6" borderId="1" pivotButton="0" quotePrefix="0" xfId="0"/>
    <xf numFmtId="164" fontId="0" fillId="5" borderId="1" pivotButton="0" quotePrefix="0" xfId="0"/>
    <xf numFmtId="9" fontId="0" fillId="6" borderId="1" pivotButton="0" quotePrefix="0" xfId="0"/>
    <xf numFmtId="0" fontId="9" fillId="0" borderId="0" pivotButton="0" quotePrefix="0" xfId="0"/>
    <xf numFmtId="0" fontId="0" fillId="5" borderId="1" pivotButton="0" quotePrefix="0" xfId="0"/>
    <xf numFmtId="1" fontId="0" fillId="5" borderId="1" pivotButton="0" quotePrefix="0" xfId="0"/>
    <xf numFmtId="9" fontId="0" fillId="5" borderId="1" pivotButton="0" quotePrefix="0" xfId="0"/>
    <xf numFmtId="0" fontId="8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C2410C"/>
      </font>
      <fill>
        <patternFill patternType="solid">
          <fgColor rgb="00FDEBE3"/>
          <bgColor rgb="00FDEB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rightToLeft="1" zoomScale="11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7" customWidth="1" min="4" max="4"/>
    <col width="26" customWidth="1" min="5" max="5"/>
    <col width="3" customWidth="1" min="6" max="6"/>
    <col width="26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🏦 בנק החממה · תקציב חודשי</t>
        </is>
      </c>
      <c r="B1" s="2" t="inlineStr">
        <is>
          <t>שם הסטארט-אפ:</t>
        </is>
      </c>
      <c r="C1" s="3" t="inlineStr"/>
    </row>
    <row r="2">
      <c r="A2" s="4" t="inlineStr">
        <is>
          <t>מקרא:  כחול = מקלידים מספר או טקסט  ·  צהוב = כותבים נוסחה (מתחילה ב-=)  ·  ירקרק = נוסחה מוכנה, לא נוגעים</t>
        </is>
      </c>
    </row>
    <row r="3">
      <c r="A3" s="5" t="inlineStr">
        <is>
          <t>הנחות</t>
        </is>
      </c>
      <c r="G3" s="5" t="inlineStr">
        <is>
          <t>טבלת תרחישים · מה אם?</t>
        </is>
      </c>
    </row>
    <row r="4">
      <c r="A4" t="inlineStr">
        <is>
          <t>מחיר מכירה ליחידה (₪)</t>
        </is>
      </c>
      <c r="B4" s="6" t="n"/>
      <c r="C4" s="7" t="inlineStr">
        <is>
          <t>מאיפה המחיר? (יום השוק / חנות)</t>
        </is>
      </c>
      <c r="G4" s="8" t="inlineStr"/>
      <c r="H4" s="9" t="inlineStr">
        <is>
          <t>בסיס</t>
        </is>
      </c>
      <c r="I4" s="9" t="inlineStr">
        <is>
          <t>זעזוע 1</t>
        </is>
      </c>
      <c r="J4" s="9" t="inlineStr">
        <is>
          <t>זעזוע 2</t>
        </is>
      </c>
      <c r="K4" s="9" t="inlineStr">
        <is>
          <t>זעזוע 3</t>
        </is>
      </c>
    </row>
    <row r="5">
      <c r="A5" t="inlineStr">
        <is>
          <t>כמות צפויה בחודש (יחידות או לקוחות)</t>
        </is>
      </c>
      <c r="B5" s="10" t="n"/>
      <c r="C5" s="7" t="inlineStr">
        <is>
          <t>עד 60 בחודש (בית ספר אחד)</t>
        </is>
      </c>
      <c r="G5" s="11" t="inlineStr">
        <is>
          <t>הזעזוע (שם הכרטיס)</t>
        </is>
      </c>
      <c r="H5" s="12" t="inlineStr">
        <is>
          <t>—</t>
        </is>
      </c>
      <c r="I5" s="12" t="n"/>
      <c r="J5" s="12" t="n"/>
      <c r="K5" s="12" t="n"/>
    </row>
    <row r="6">
      <c r="C6" s="7" t="inlineStr">
        <is>
          <t>קבועה: לחודש · משתנה: ליחידה</t>
        </is>
      </c>
      <c r="G6" s="11" t="inlineStr">
        <is>
          <t>מחיר ליחידה</t>
        </is>
      </c>
      <c r="H6" s="13">
        <f>B4</f>
        <v/>
      </c>
      <c r="I6" s="6">
        <f>H6</f>
        <v/>
      </c>
      <c r="J6" s="6">
        <f>I6</f>
        <v/>
      </c>
      <c r="K6" s="6">
        <f>J6</f>
        <v/>
      </c>
    </row>
    <row r="7">
      <c r="A7" s="9" t="inlineStr">
        <is>
          <t>פריט</t>
        </is>
      </c>
      <c r="B7" s="9" t="inlineStr">
        <is>
          <t>סוג (תפריט)</t>
        </is>
      </c>
      <c r="C7" s="9" t="inlineStr">
        <is>
          <t>עלות (₪)</t>
        </is>
      </c>
      <c r="D7" s="9" t="inlineStr">
        <is>
          <t>סה״כ בחודש (₪)</t>
        </is>
      </c>
      <c r="E7" s="9" t="inlineStr">
        <is>
          <t>מקור המחיר</t>
        </is>
      </c>
      <c r="G7" s="11" t="inlineStr">
        <is>
          <t>כמות בחודש</t>
        </is>
      </c>
      <c r="H7" s="14">
        <f>B5</f>
        <v/>
      </c>
      <c r="I7" s="10">
        <f>H7</f>
        <v/>
      </c>
      <c r="J7" s="10">
        <f>I7</f>
        <v/>
      </c>
      <c r="K7" s="10">
        <f>J7</f>
        <v/>
      </c>
    </row>
    <row r="8">
      <c r="A8" s="10" t="n"/>
      <c r="B8" s="10" t="n"/>
      <c r="C8" s="6" t="n"/>
      <c r="D8" s="15" t="n"/>
      <c r="E8" s="10" t="n"/>
      <c r="G8" s="11" t="inlineStr">
        <is>
          <t>הוצאות קבועות</t>
        </is>
      </c>
      <c r="H8" s="13">
        <f>B17</f>
        <v/>
      </c>
      <c r="I8" s="6">
        <f>H8</f>
        <v/>
      </c>
      <c r="J8" s="6">
        <f>I8</f>
        <v/>
      </c>
      <c r="K8" s="6">
        <f>J8</f>
        <v/>
      </c>
    </row>
    <row r="9">
      <c r="A9" s="10" t="n"/>
      <c r="B9" s="10" t="n"/>
      <c r="C9" s="6" t="n"/>
      <c r="D9" s="15" t="n"/>
      <c r="E9" s="10" t="n"/>
      <c r="G9" s="11" t="inlineStr">
        <is>
          <t>עלות משתנה ליחידה</t>
        </is>
      </c>
      <c r="H9" s="13">
        <f>B18</f>
        <v/>
      </c>
      <c r="I9" s="6">
        <f>H9</f>
        <v/>
      </c>
      <c r="J9" s="6">
        <f>I9</f>
        <v/>
      </c>
      <c r="K9" s="6">
        <f>J9</f>
        <v/>
      </c>
    </row>
    <row r="10">
      <c r="A10" s="10" t="n"/>
      <c r="B10" s="10" t="n"/>
      <c r="C10" s="6" t="n"/>
      <c r="D10" s="15" t="n"/>
      <c r="E10" s="10" t="n"/>
      <c r="G10" s="11" t="inlineStr">
        <is>
          <t>הכנסות</t>
        </is>
      </c>
      <c r="H10" s="13">
        <f>H6*H7</f>
        <v/>
      </c>
      <c r="I10" s="13">
        <f>I6*I7</f>
        <v/>
      </c>
      <c r="J10" s="13">
        <f>J6*J7</f>
        <v/>
      </c>
      <c r="K10" s="13">
        <f>K6*K7</f>
        <v/>
      </c>
    </row>
    <row r="11">
      <c r="A11" s="10" t="n"/>
      <c r="B11" s="10" t="n"/>
      <c r="C11" s="6" t="n"/>
      <c r="D11" s="15" t="n"/>
      <c r="E11" s="10" t="n"/>
      <c r="G11" s="11" t="inlineStr">
        <is>
          <t>הוצאות</t>
        </is>
      </c>
      <c r="H11" s="13">
        <f>H8+H9*H7</f>
        <v/>
      </c>
      <c r="I11" s="13">
        <f>I8+I9*I7</f>
        <v/>
      </c>
      <c r="J11" s="13">
        <f>J8+J9*J7</f>
        <v/>
      </c>
      <c r="K11" s="13">
        <f>K8+K9*K7</f>
        <v/>
      </c>
    </row>
    <row r="12">
      <c r="A12" s="10" t="n"/>
      <c r="B12" s="10" t="n"/>
      <c r="C12" s="6" t="n"/>
      <c r="D12" s="15" t="n"/>
      <c r="E12" s="10" t="n"/>
      <c r="G12" s="11" t="inlineStr">
        <is>
          <t>רווח / הפסד</t>
        </is>
      </c>
      <c r="H12" s="13">
        <f>H10-H11</f>
        <v/>
      </c>
      <c r="I12" s="13">
        <f>I10-I11</f>
        <v/>
      </c>
      <c r="J12" s="13">
        <f>J10-J11</f>
        <v/>
      </c>
      <c r="K12" s="13">
        <f>K10-K11</f>
        <v/>
      </c>
    </row>
    <row r="13">
      <c r="A13" s="10" t="n"/>
      <c r="B13" s="10" t="n"/>
      <c r="C13" s="6" t="n"/>
      <c r="D13" s="15" t="n"/>
      <c r="E13" s="10" t="n"/>
      <c r="G13" s="11" t="inlineStr">
        <is>
          <t>נקודת איזון</t>
        </is>
      </c>
      <c r="H13" s="14">
        <f>IF(H6&lt;=H9,"אין איזון",ROUNDUP(H8/(H6-H9),0))</f>
        <v/>
      </c>
      <c r="I13" s="14">
        <f>IF(I6&lt;=I9,"אין איזון",ROUNDUP(I8/(I6-I9),0))</f>
        <v/>
      </c>
      <c r="J13" s="14">
        <f>IF(J6&lt;=J9,"אין איזון",ROUNDUP(J8/(J6-J9),0))</f>
        <v/>
      </c>
      <c r="K13" s="14">
        <f>IF(K6&lt;=K9,"אין איזון",ROUNDUP(K8/(K6-K9),0))</f>
        <v/>
      </c>
    </row>
    <row r="14">
      <c r="A14" s="10" t="n"/>
      <c r="B14" s="10" t="n"/>
      <c r="C14" s="6" t="n"/>
      <c r="D14" s="15" t="n"/>
      <c r="E14" s="10" t="n"/>
      <c r="G14" s="11" t="inlineStr">
        <is>
          <t>שולי רווח</t>
        </is>
      </c>
      <c r="H14" s="16">
        <f>IF(H10=0,0,H12/H10)</f>
        <v/>
      </c>
      <c r="I14" s="16">
        <f>IF(I10=0,0,I12/I10)</f>
        <v/>
      </c>
      <c r="J14" s="16">
        <f>IF(J10=0,0,J12/J10)</f>
        <v/>
      </c>
      <c r="K14" s="16">
        <f>IF(K10=0,0,K12/K10)</f>
        <v/>
      </c>
    </row>
    <row r="15">
      <c r="A15" s="10" t="n"/>
      <c r="B15" s="10" t="n"/>
      <c r="C15" s="6" t="n"/>
      <c r="D15" s="15" t="n"/>
      <c r="E15" s="10" t="n"/>
      <c r="G15" s="11" t="inlineStr">
        <is>
          <t>שורדים?</t>
        </is>
      </c>
      <c r="H15" s="14">
        <f>IF(H12&gt;0,"✅ שורדים","❌ הפסד")</f>
        <v/>
      </c>
      <c r="I15" s="14">
        <f>IF(I12&gt;0,"✅ שורדים","❌ הפסד")</f>
        <v/>
      </c>
      <c r="J15" s="14">
        <f>IF(J12&gt;0,"✅ שורדים","❌ הפסד")</f>
        <v/>
      </c>
      <c r="K15" s="14">
        <f>IF(K12&gt;0,"✅ שורדים","❌ הפסד")</f>
        <v/>
      </c>
    </row>
    <row r="16">
      <c r="A16" s="7" t="inlineStr">
        <is>
          <t>(הוצאה נוספת? מוסיפים שורה מעל שורה 15)</t>
        </is>
      </c>
      <c r="G16" s="11" t="inlineStr">
        <is>
          <t>הניחוש שלנו (רווח / איזון)</t>
        </is>
      </c>
      <c r="H16" s="12" t="n"/>
      <c r="I16" s="12" t="n"/>
      <c r="J16" s="12" t="n"/>
      <c r="K16" s="12" t="n"/>
    </row>
    <row r="17" ht="60" customHeight="1">
      <c r="A17" s="11" t="inlineStr">
        <is>
          <t>סה״כ הוצאות קבועות בחודש</t>
        </is>
      </c>
      <c r="B17" s="13">
        <f>SUMIF(B8:B15,"קבועה",C8:C15)</f>
        <v/>
      </c>
      <c r="C17" s="7" t="inlineStr">
        <is>
          <t>מוכן: מחבר את כל הקבועות</t>
        </is>
      </c>
      <c r="G17" s="11" t="inlineStr">
        <is>
          <t>ההחלטה שלנו: ___ כי ___</t>
        </is>
      </c>
      <c r="H17" s="12" t="n"/>
      <c r="I17" s="12" t="n"/>
      <c r="J17" s="12" t="n"/>
      <c r="K17" s="12" t="n"/>
    </row>
    <row r="18">
      <c r="A18" s="11" t="inlineStr">
        <is>
          <t>עלות משתנה ליחידה</t>
        </is>
      </c>
      <c r="B18" s="13">
        <f>SUMIF(B8:B15,"משתנה",C8:C15)</f>
        <v/>
      </c>
      <c r="C18" s="7" t="inlineStr">
        <is>
          <t>מוכן: מחבר את כל המשתנות</t>
        </is>
      </c>
    </row>
    <row r="19">
      <c r="A19" s="11" t="inlineStr">
        <is>
          <t>סה״כ הוצאות בחודש</t>
        </is>
      </c>
      <c r="B19" s="15" t="n"/>
      <c r="G19" s="17" t="inlineStr">
        <is>
          <t>איך מפעילים זעזוע: בעמודה של הסבב משנים רק את השורה שהכרטיס מזיז.</t>
        </is>
      </c>
    </row>
    <row r="20">
      <c r="A20" s="11" t="inlineStr">
        <is>
          <t>הכנסות בחודש</t>
        </is>
      </c>
      <c r="B20" s="15" t="n"/>
      <c r="G20" s="17" t="inlineStr">
        <is>
          <t>דוגמה: הספק העלה מחירים ב-25%  ←  בתא I9 כותבים  =H9*1.25</t>
        </is>
      </c>
    </row>
    <row r="21">
      <c r="A21" s="11" t="inlineStr">
        <is>
          <t>רווח / הפסד</t>
        </is>
      </c>
      <c r="B21" s="15" t="n"/>
      <c r="G21" s="17" t="inlineStr">
        <is>
          <t>תגובה (אחת בכל סבב): מחיר עד 20% למעלה או למטה · ויתור על הוצאה אחת · מקור הכנסה נוסף אחד</t>
        </is>
      </c>
    </row>
    <row r="22">
      <c r="A22" s="11" t="inlineStr">
        <is>
          <t>מצב</t>
        </is>
      </c>
      <c r="B22" s="18" t="n"/>
    </row>
    <row r="23">
      <c r="A23" s="11" t="inlineStr">
        <is>
          <t>נקודת איזון (יחידות בחודש)</t>
        </is>
      </c>
      <c r="B23" s="19" t="n"/>
    </row>
    <row r="24">
      <c r="A24" s="11" t="inlineStr">
        <is>
          <t>שולי רווח (רווח ÷ הכנסות)</t>
        </is>
      </c>
      <c r="B24" s="20" t="n"/>
    </row>
    <row r="26">
      <c r="A26" s="21" t="inlineStr">
        <is>
          <t>משפט מסקנה: צריך ___ לקוחות בחודש כדי לא להפסיד, ולכן החלטנו ___ כי ___</t>
        </is>
      </c>
    </row>
    <row r="27">
      <c r="A27" s="22" t="n"/>
    </row>
    <row r="28"/>
  </sheetData>
  <mergeCells count="2">
    <mergeCell ref="A27:E28"/>
    <mergeCell ref="C1:E1"/>
  </mergeCells>
  <dataValidations count="1">
    <dataValidation sqref="B8 B9 B10 B11 B12 B13 B14 B15" showDropDown="0" showInputMessage="0" showErrorMessage="0" allowBlank="1" errorTitle="סוג ההוצאה" error="בחרו קבועה או משתנה" type="list">
      <formula1>"קבועה,משתנה"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rightToLeft="1" zoomScale="11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7" customWidth="1" min="4" max="4"/>
    <col width="26" customWidth="1" min="5" max="5"/>
    <col width="3" customWidth="1" min="6" max="6"/>
    <col width="26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🏦 בנק החממה · תקציב חודשי</t>
        </is>
      </c>
      <c r="B1" s="2" t="inlineStr">
        <is>
          <t>שם הסטארט-אפ:</t>
        </is>
      </c>
      <c r="C1" s="3" t="inlineStr">
        <is>
          <t>קופסת הפסקה</t>
        </is>
      </c>
    </row>
    <row r="2">
      <c r="A2" s="4" t="inlineStr">
        <is>
          <t>מקרא:  כחול = מקלידים מספר או טקסט  ·  צהוב = כותבים נוסחה (מתחילה ב-=)  ·  ירקרק = נוסחה מוכנה, לא נוגעים</t>
        </is>
      </c>
    </row>
    <row r="3">
      <c r="A3" s="5" t="inlineStr">
        <is>
          <t>הנחות</t>
        </is>
      </c>
      <c r="G3" s="5" t="inlineStr">
        <is>
          <t>טבלת תרחישים · מה אם?</t>
        </is>
      </c>
    </row>
    <row r="4">
      <c r="A4" t="inlineStr">
        <is>
          <t>מחיר מכירה ליחידה (₪)</t>
        </is>
      </c>
      <c r="B4" s="6" t="n">
        <v>5</v>
      </c>
      <c r="C4" s="7" t="inlineStr">
        <is>
          <t>המחיר שבחרנו ביום השוק</t>
        </is>
      </c>
      <c r="G4" s="8" t="inlineStr"/>
      <c r="H4" s="9" t="inlineStr">
        <is>
          <t>בסיס</t>
        </is>
      </c>
      <c r="I4" s="9" t="inlineStr">
        <is>
          <t>זעזוע 1</t>
        </is>
      </c>
      <c r="J4" s="9" t="inlineStr">
        <is>
          <t>זעזוע 2</t>
        </is>
      </c>
      <c r="K4" s="9" t="inlineStr">
        <is>
          <t>זעזוע 3</t>
        </is>
      </c>
    </row>
    <row r="5">
      <c r="A5" t="inlineStr">
        <is>
          <t>כמות צפויה בחודש (יחידות או לקוחות)</t>
        </is>
      </c>
      <c r="B5" s="10" t="n">
        <v>40</v>
      </c>
      <c r="C5" s="7" t="inlineStr">
        <is>
          <t>40 מנויים מתוך 3 כיתות</t>
        </is>
      </c>
      <c r="G5" s="11" t="inlineStr">
        <is>
          <t>הזעזוע (שם הכרטיס)</t>
        </is>
      </c>
      <c r="H5" s="12" t="inlineStr">
        <is>
          <t>—</t>
        </is>
      </c>
      <c r="I5" s="12" t="inlineStr">
        <is>
          <t>🚚 הספק העלה מחירים (+25% לעלות המשתנה)</t>
        </is>
      </c>
      <c r="J5" s="12" t="inlineStr">
        <is>
          <t>📱 טרנד בטיקטוק (+50% לכמות)</t>
        </is>
      </c>
      <c r="K5" s="12" t="inlineStr">
        <is>
          <t>🏪 מתחרה חדש (−20% למחיר)</t>
        </is>
      </c>
    </row>
    <row r="6">
      <c r="C6" s="7" t="inlineStr">
        <is>
          <t>קבועה: לחודש · משתנה: ליחידה</t>
        </is>
      </c>
      <c r="G6" s="11" t="inlineStr">
        <is>
          <t>מחיר ליחידה</t>
        </is>
      </c>
      <c r="H6" s="13">
        <f>B4</f>
        <v/>
      </c>
      <c r="I6" s="6">
        <f>H6</f>
        <v/>
      </c>
      <c r="J6" s="6">
        <f>I6</f>
        <v/>
      </c>
      <c r="K6" s="6">
        <f>J6*0.8</f>
        <v/>
      </c>
    </row>
    <row r="7">
      <c r="A7" s="9" t="inlineStr">
        <is>
          <t>פריט</t>
        </is>
      </c>
      <c r="B7" s="9" t="inlineStr">
        <is>
          <t>סוג (תפריט)</t>
        </is>
      </c>
      <c r="C7" s="9" t="inlineStr">
        <is>
          <t>עלות (₪)</t>
        </is>
      </c>
      <c r="D7" s="9" t="inlineStr">
        <is>
          <t>סה״כ בחודש (₪)</t>
        </is>
      </c>
      <c r="E7" s="9" t="inlineStr">
        <is>
          <t>מקור המחיר</t>
        </is>
      </c>
      <c r="G7" s="11" t="inlineStr">
        <is>
          <t>כמות בחודש</t>
        </is>
      </c>
      <c r="H7" s="14">
        <f>B5</f>
        <v/>
      </c>
      <c r="I7" s="10">
        <f>H7</f>
        <v/>
      </c>
      <c r="J7" s="10">
        <f>I7*1.5</f>
        <v/>
      </c>
      <c r="K7" s="10">
        <f>J7</f>
        <v/>
      </c>
    </row>
    <row r="8">
      <c r="A8" s="10" t="inlineStr">
        <is>
          <t>⚽ כדורים (3 × 20 ₪, מחליפים פעם בחודש)</t>
        </is>
      </c>
      <c r="B8" s="10" t="inlineStr">
        <is>
          <t>קבועה</t>
        </is>
      </c>
      <c r="C8" s="6" t="n">
        <v>60</v>
      </c>
      <c r="D8" s="15">
        <f>IF(B8="משתנה",C8*$B$5,C8)</f>
        <v/>
      </c>
      <c r="E8" s="10" t="inlineStr">
        <is>
          <t>חנות ספורט, מחיר מהאתר</t>
        </is>
      </c>
      <c r="G8" s="11" t="inlineStr">
        <is>
          <t>הוצאות קבועות</t>
        </is>
      </c>
      <c r="H8" s="13">
        <f>B17</f>
        <v/>
      </c>
      <c r="I8" s="6">
        <f>H8-20</f>
        <v/>
      </c>
      <c r="J8" s="6">
        <f>I8</f>
        <v/>
      </c>
      <c r="K8" s="6">
        <f>J8</f>
        <v/>
      </c>
    </row>
    <row r="9">
      <c r="A9" s="10" t="inlineStr">
        <is>
          <t>🪢 חבלי קפיצה</t>
        </is>
      </c>
      <c r="B9" s="10" t="inlineStr">
        <is>
          <t>קבועה</t>
        </is>
      </c>
      <c r="C9" s="6" t="n">
        <v>20</v>
      </c>
      <c r="D9" s="15">
        <f>IF(B9="משתנה",C9*$B$5,C9)</f>
        <v/>
      </c>
      <c r="E9" s="10" t="inlineStr">
        <is>
          <t>הערכה של הצוות</t>
        </is>
      </c>
      <c r="G9" s="11" t="inlineStr">
        <is>
          <t>עלות משתנה ליחידה</t>
        </is>
      </c>
      <c r="H9" s="13">
        <f>B18</f>
        <v/>
      </c>
      <c r="I9" s="6">
        <f>H9*1.25</f>
        <v/>
      </c>
      <c r="J9" s="6">
        <f>I9</f>
        <v/>
      </c>
      <c r="K9" s="6">
        <f>J9</f>
        <v/>
      </c>
    </row>
    <row r="10">
      <c r="A10" s="10" t="inlineStr">
        <is>
          <t>🖨️ הדפסת מודעות</t>
        </is>
      </c>
      <c r="B10" s="10" t="inlineStr">
        <is>
          <t>קבועה</t>
        </is>
      </c>
      <c r="C10" s="6" t="n">
        <v>20</v>
      </c>
      <c r="D10" s="15">
        <f>IF(B10="משתנה",C10*$B$5,C10)</f>
        <v/>
      </c>
      <c r="E10" s="10" t="inlineStr">
        <is>
          <t>מכון ההעתקות, 10 × 2 ₪</t>
        </is>
      </c>
      <c r="G10" s="11" t="inlineStr">
        <is>
          <t>הכנסות</t>
        </is>
      </c>
      <c r="H10" s="13">
        <f>H6*H7</f>
        <v/>
      </c>
      <c r="I10" s="13">
        <f>I6*I7</f>
        <v/>
      </c>
      <c r="J10" s="13">
        <f>J6*J7</f>
        <v/>
      </c>
      <c r="K10" s="13">
        <f>K6*K7</f>
        <v/>
      </c>
    </row>
    <row r="11">
      <c r="A11" s="10" t="inlineStr">
        <is>
          <t>🏦 החזר הלוואת ההשקה (חובה)</t>
        </is>
      </c>
      <c r="B11" s="10" t="inlineStr">
        <is>
          <t>קבועה</t>
        </is>
      </c>
      <c r="C11" s="6" t="n">
        <v>40</v>
      </c>
      <c r="D11" s="15">
        <f>IF(B11="משתנה",C11*$B$5,C11)</f>
        <v/>
      </c>
      <c r="E11" s="10" t="inlineStr">
        <is>
          <t>תנאי הבנק</t>
        </is>
      </c>
      <c r="G11" s="11" t="inlineStr">
        <is>
          <t>הוצאות</t>
        </is>
      </c>
      <c r="H11" s="13">
        <f>H8+H9*H7</f>
        <v/>
      </c>
      <c r="I11" s="13">
        <f>I8+I9*I7</f>
        <v/>
      </c>
      <c r="J11" s="13">
        <f>J8+J9*J7</f>
        <v/>
      </c>
      <c r="K11" s="13">
        <f>K8+K9*K7</f>
        <v/>
      </c>
    </row>
    <row r="12">
      <c r="A12" s="10" t="inlineStr">
        <is>
          <t>🎫 כרטיס מנוי</t>
        </is>
      </c>
      <c r="B12" s="10" t="inlineStr">
        <is>
          <t>משתנה</t>
        </is>
      </c>
      <c r="C12" s="6" t="n">
        <v>0.5</v>
      </c>
      <c r="D12" s="15">
        <f>IF(B12="משתנה",C12*$B$5,C12)</f>
        <v/>
      </c>
      <c r="E12" s="10" t="inlineStr">
        <is>
          <t>חנות כלי כתיבה</t>
        </is>
      </c>
      <c r="G12" s="11" t="inlineStr">
        <is>
          <t>רווח / הפסד</t>
        </is>
      </c>
      <c r="H12" s="13">
        <f>H10-H11</f>
        <v/>
      </c>
      <c r="I12" s="13">
        <f>I10-I11</f>
        <v/>
      </c>
      <c r="J12" s="13">
        <f>J10-J11</f>
        <v/>
      </c>
      <c r="K12" s="13">
        <f>K10-K11</f>
        <v/>
      </c>
    </row>
    <row r="13">
      <c r="A13" s="10" t="inlineStr">
        <is>
          <t>⭐ מדבקה לכל מנוי</t>
        </is>
      </c>
      <c r="B13" s="10" t="inlineStr">
        <is>
          <t>משתנה</t>
        </is>
      </c>
      <c r="C13" s="6" t="n">
        <v>0.5</v>
      </c>
      <c r="D13" s="15">
        <f>IF(B13="משתנה",C13*$B$5,C13)</f>
        <v/>
      </c>
      <c r="E13" s="10" t="inlineStr">
        <is>
          <t>חנות כלי כתיבה</t>
        </is>
      </c>
      <c r="G13" s="11" t="inlineStr">
        <is>
          <t>נקודת איזון</t>
        </is>
      </c>
      <c r="H13" s="14">
        <f>IF(H6&lt;=H9,"אין איזון",ROUNDUP(H8/(H6-H9),0))</f>
        <v/>
      </c>
      <c r="I13" s="14">
        <f>IF(I6&lt;=I9,"אין איזון",ROUNDUP(I8/(I6-I9),0))</f>
        <v/>
      </c>
      <c r="J13" s="14">
        <f>IF(J6&lt;=J9,"אין איזון",ROUNDUP(J8/(J6-J9),0))</f>
        <v/>
      </c>
      <c r="K13" s="14">
        <f>IF(K6&lt;=K9,"אין איזון",ROUNDUP(K8/(K6-K9),0))</f>
        <v/>
      </c>
    </row>
    <row r="14">
      <c r="A14" s="10" t="n"/>
      <c r="B14" s="10" t="n"/>
      <c r="C14" s="6" t="n"/>
      <c r="D14" s="15">
        <f>IF(B14="משתנה",C14*$B$5,C14)</f>
        <v/>
      </c>
      <c r="E14" s="10" t="n"/>
      <c r="G14" s="11" t="inlineStr">
        <is>
          <t>שולי רווח</t>
        </is>
      </c>
      <c r="H14" s="16">
        <f>IF(H10=0,0,H12/H10)</f>
        <v/>
      </c>
      <c r="I14" s="16">
        <f>IF(I10=0,0,I12/I10)</f>
        <v/>
      </c>
      <c r="J14" s="16">
        <f>IF(J10=0,0,J12/J10)</f>
        <v/>
      </c>
      <c r="K14" s="16">
        <f>IF(K10=0,0,K12/K10)</f>
        <v/>
      </c>
    </row>
    <row r="15">
      <c r="A15" s="10" t="n"/>
      <c r="B15" s="10" t="n"/>
      <c r="C15" s="6" t="n"/>
      <c r="D15" s="15">
        <f>IF(B15="משתנה",C15*$B$5,C15)</f>
        <v/>
      </c>
      <c r="E15" s="10" t="n"/>
      <c r="G15" s="11" t="inlineStr">
        <is>
          <t>שורדים?</t>
        </is>
      </c>
      <c r="H15" s="14">
        <f>IF(H12&gt;0,"✅ שורדים","❌ הפסד")</f>
        <v/>
      </c>
      <c r="I15" s="14">
        <f>IF(I12&gt;0,"✅ שורדים","❌ הפסד")</f>
        <v/>
      </c>
      <c r="J15" s="14">
        <f>IF(J12&gt;0,"✅ שורדים","❌ הפסד")</f>
        <v/>
      </c>
      <c r="K15" s="14">
        <f>IF(K12&gt;0,"✅ שורדים","❌ הפסד")</f>
        <v/>
      </c>
    </row>
    <row r="16">
      <c r="A16" s="7" t="inlineStr">
        <is>
          <t>(הוצאה נוספת? מוסיפים שורה מעל שורה 15)</t>
        </is>
      </c>
      <c r="G16" s="11" t="inlineStr">
        <is>
          <t>הניחוש שלנו (רווח / איזון)</t>
        </is>
      </c>
      <c r="H16" s="12" t="inlineStr">
        <is>
          <t>—</t>
        </is>
      </c>
      <c r="I16" s="12" t="inlineStr">
        <is>
          <t>ניחשנו: רווח ↓ / איזון ↑ · צדקנו</t>
        </is>
      </c>
      <c r="J16" s="12" t="inlineStr">
        <is>
          <t>ניחשנו: רווח ↑ / איזון ↓ · בפועל האיזון לא זז</t>
        </is>
      </c>
      <c r="K16" s="12" t="inlineStr">
        <is>
          <t>ניחשנו: רווח ↓ / איזון ↑ · צדקנו</t>
        </is>
      </c>
    </row>
    <row r="17" ht="60" customHeight="1">
      <c r="A17" s="11" t="inlineStr">
        <is>
          <t>סה״כ הוצאות קבועות בחודש</t>
        </is>
      </c>
      <c r="B17" s="13">
        <f>SUMIF(B8:B15,"קבועה",C8:C15)</f>
        <v/>
      </c>
      <c r="C17" s="7" t="inlineStr">
        <is>
          <t>מוכן: מחבר את כל הקבועות</t>
        </is>
      </c>
      <c r="G17" s="11" t="inlineStr">
        <is>
          <t>ההחלטה שלנו: ___ כי ___</t>
        </is>
      </c>
      <c r="H17" s="12" t="inlineStr">
        <is>
          <t>—</t>
        </is>
      </c>
      <c r="I17" s="12" t="inlineStr">
        <is>
          <t>מוותרים על המודעות המודפסות (−20 ₪), כי רוב הלקוחות שמעו עלינו מחברים.</t>
        </is>
      </c>
      <c r="J17" s="12" t="inlineStr">
        <is>
          <t>לא משנים כלום, כי יש רווח ונקודת האיזון לא זזה.</t>
        </is>
      </c>
      <c r="K17" s="12" t="inlineStr">
        <is>
          <t>לא מורידים עוד הוצאות, כי עדיין יש רווח (45 ₪) וזה מספיק להחזר ההלוואה.</t>
        </is>
      </c>
    </row>
    <row r="18">
      <c r="A18" s="11" t="inlineStr">
        <is>
          <t>עלות משתנה ליחידה</t>
        </is>
      </c>
      <c r="B18" s="13">
        <f>SUMIF(B8:B15,"משתנה",C8:C15)</f>
        <v/>
      </c>
      <c r="C18" s="7" t="inlineStr">
        <is>
          <t>מוכן: מחבר את כל המשתנות</t>
        </is>
      </c>
    </row>
    <row r="19">
      <c r="A19" s="11" t="inlineStr">
        <is>
          <t>סה״כ הוצאות בחודש</t>
        </is>
      </c>
      <c r="B19" s="15">
        <f>SUM(D8:D15)</f>
        <v/>
      </c>
      <c r="G19" s="17" t="inlineStr">
        <is>
          <t>איך מפעילים זעזוע: בעמודה של הסבב משנים רק את השורה שהכרטיס מזיז.</t>
        </is>
      </c>
    </row>
    <row r="20">
      <c r="A20" s="11" t="inlineStr">
        <is>
          <t>הכנסות בחודש</t>
        </is>
      </c>
      <c r="B20" s="15">
        <f>B4*B5</f>
        <v/>
      </c>
      <c r="G20" s="17" t="inlineStr">
        <is>
          <t>דוגמה: הספק העלה מחירים ב-25%  ←  בתא I9 כותבים  =H9*1.25</t>
        </is>
      </c>
    </row>
    <row r="21">
      <c r="A21" s="11" t="inlineStr">
        <is>
          <t>רווח / הפסד</t>
        </is>
      </c>
      <c r="B21" s="15">
        <f>B20-B19</f>
        <v/>
      </c>
      <c r="G21" s="17" t="inlineStr">
        <is>
          <t>תגובה (אחת בכל סבב): מחיר עד 20% למעלה או למטה · ויתור על הוצאה אחת · מקור הכנסה נוסף אחד</t>
        </is>
      </c>
    </row>
    <row r="22">
      <c r="A22" s="11" t="inlineStr">
        <is>
          <t>מצב</t>
        </is>
      </c>
      <c r="B22" s="18">
        <f>IF(B21&gt;=0,"רווח","הפסד")</f>
        <v/>
      </c>
    </row>
    <row r="23">
      <c r="A23" s="11" t="inlineStr">
        <is>
          <t>נקודת איזון (יחידות בחודש)</t>
        </is>
      </c>
      <c r="B23" s="19">
        <f>ROUNDUP(B17/(B4-B18),0)</f>
        <v/>
      </c>
    </row>
    <row r="24">
      <c r="A24" s="11" t="inlineStr">
        <is>
          <t>שולי רווח (רווח ÷ הכנסות)</t>
        </is>
      </c>
      <c r="B24" s="20">
        <f>B21/B20</f>
        <v/>
      </c>
    </row>
    <row r="26">
      <c r="A26" s="21" t="inlineStr">
        <is>
          <t>משפט מסקנה: צריך ___ לקוחות בחודש כדי לא להפסיד, ולכן החלטנו ___ כי ___</t>
        </is>
      </c>
    </row>
    <row r="27">
      <c r="A27" s="22" t="inlineStr">
        <is>
          <t>צריך 35 מנויים בחודש כדי לא להפסיד, ואנחנו מצפים ל-40. אחרי שלושה זעזועים עדיין יש רווח של 45 ₪, ולכן החלטנו לוותר על המודעות המודפסות ולשמור על מחיר של 4 ₪ מול המתחרה, כי מנוי זול שומר את הלקוחות.</t>
        </is>
      </c>
    </row>
    <row r="28"/>
  </sheetData>
  <mergeCells count="2">
    <mergeCell ref="A27:E28"/>
    <mergeCell ref="C1:E1"/>
  </mergeCells>
  <conditionalFormatting sqref="B21">
    <cfRule type="cellIs" priority="1" operator="lessThan" dxfId="0">
      <formula>0</formula>
    </cfRule>
  </conditionalFormatting>
  <conditionalFormatting sqref="H12:K12">
    <cfRule type="cellIs" priority="2" operator="lessThan" dxfId="0">
      <formula>0</formula>
    </cfRule>
  </conditionalFormatting>
  <dataValidations count="1">
    <dataValidation sqref="B8 B9 B10 B11 B12 B13 B14 B15" showDropDown="0" showInputMessage="0" showErrorMessage="0" allowBlank="1" errorTitle="סוג ההוצאה" error="בחרו קבועה או משתנה" type="list">
      <formula1>"קבועה,משתנה"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2026-10-25T05:57:28Z</dcterms:created>
  <dcterms:modified xmlns:dcterms="http://purl.org/dc/terms/" xmlns:xsi="http://www.w3.org/2001/XMLSchema-instance" xsi:type="dcterms:W3CDTF">2026-10-25T05:57:28Z</dcterms:modified>
</cp:coreProperties>
</file>